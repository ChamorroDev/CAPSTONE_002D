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3/Nueva carpeta/"/>
    </mc:Choice>
  </mc:AlternateContent>
  <xr:revisionPtr revIDLastSave="748" documentId="8_{2EFDF332-31E9-4C74-A6B5-E695634C1C45}" xr6:coauthVersionLast="47" xr6:coauthVersionMax="47" xr10:uidLastSave="{7FAB66F8-978A-4528-856E-40ADF2C2D7E8}"/>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E20" i="1" l="1"/>
  <c r="G20" i="1"/>
  <c r="I20" i="1"/>
  <c r="K14" i="1"/>
  <c r="C31" i="1" l="1"/>
  <c r="C32" i="1" s="1"/>
  <c r="K20" i="1"/>
  <c r="C20" i="1" s="1"/>
  <c r="C21" i="1" s="1"/>
  <c r="D4" i="1" l="1"/>
  <c r="C4" i="1"/>
  <c r="E4" i="1" l="1"/>
</calcChain>
</file>

<file path=xl/sharedStrings.xml><?xml version="1.0" encoding="utf-8"?>
<sst xmlns="http://schemas.openxmlformats.org/spreadsheetml/2006/main" count="136" uniqueCount="77">
  <si>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</si>
  <si>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</si>
  <si>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</si>
  <si>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</si>
  <si>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</si>
  <si>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</si>
  <si>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</si>
  <si>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</si>
  <si>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</si>
  <si>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</si>
  <si>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</si>
  <si>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</si>
  <si>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</si>
  <si>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</si>
  <si>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</si>
  <si>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</si>
  <si>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</si>
  <si>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</si>
  <si>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</si>
  <si>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</si>
  <si>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</si>
  <si>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</si>
  <si>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</si>
  <si>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</si>
  <si>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</si>
  <si>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</si>
  <si>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</si>
  <si>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</si>
  <si>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</si>
  <si>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</si>
  <si>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</si>
  <si>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</si>
  <si>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</si>
  <si>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</si>
  <si>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</si>
  <si>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</si>
  <si>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</si>
  <si>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</si>
  <si>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</si>
  <si>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</si>
  <si>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</si>
  <si>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</si>
  <si>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</si>
  <si>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</si>
  <si>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</si>
  <si>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</si>
  <si>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</si>
  <si>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</si>
  <si>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</si>
  <si>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</si>
  <si>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</si>
  <si>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</si>
  <si>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</si>
  <si>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</si>
  <si>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</si>
  <si>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</si>
  <si>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</si>
  <si>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</si>
  <si>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</si>
  <si>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</si>
  <si>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</si>
  <si>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</si>
  <si>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</si>
  <si>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</si>
  <si>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</si>
  <si>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</si>
  <si>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</si>
  <si>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</si>
  <si>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</si>
  <si>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</si>
  <si>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</si>
  <si>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</si>
  <si>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</si>
  <si>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</si>
  <si>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</si>
  <si>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</si>
  <si>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Alexander Chamorro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</si>
</sst>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6" sqref="F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7</v>
      </c>
      <c r="D4" s="5">
        <f>$C$32</f>
        <v>7</v>
      </c>
      <c r="E4" s="6">
        <f>C4*C$2+D4*D$2</f>
        <v>7</v>
      </c>
      <c r="G4" s="1"/>
    </row>
    <row r="5" spans="1:11" x14ac:dyDescent="0.25">
      <c r="A5" s="4">
        <v>2</v>
      </c>
      <c r="B5" s="27"/>
      <c r="C5" s="5"/>
      <c r="D5" s="5"/>
      <c r="E5" s="6"/>
      <c r="G5" s="1"/>
    </row>
    <row r="6" spans="1:11" x14ac:dyDescent="0.25">
      <c r="A6" s="4">
        <v>3</v>
      </c>
      <c r="B6" s="27"/>
      <c r="C6" s="5"/>
      <c r="D6" s="5"/>
      <c r="E6" s="6"/>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t="str">
        <f t="shared" ref="D13:D16" si="0">IF($C13=CL,"X","")</f>
        <v>X</v>
      </c>
      <c r="E13" s="16">
        <f>IF(D13="X",100*0.1,"")</f>
        <v>10</v>
      </c>
      <c r="F13" s="16" t="str">
        <f t="shared" ref="F13:F16" si="1">IF($C13=L,"X","")</f>
        <v/>
      </c>
      <c r="G13" s="16" t="str">
        <f>IF(F13="X",60*0.1,"")</f>
        <v/>
      </c>
      <c r="H13" s="16" t="str">
        <f t="shared" ref="H13:H16" si="2">IF($C13=ML,"X","")</f>
        <v/>
      </c>
      <c r="I13" s="16" t="str">
        <f>IF(H13="X",30*0.1,"")</f>
        <v/>
      </c>
      <c r="J13" s="16" t="str">
        <f t="shared" ref="J13:J16" si="3">IF($C13=NL,"X","")</f>
        <v/>
      </c>
      <c r="K13" s="16" t="str">
        <f t="shared" ref="K13:K16" si="4">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0"/>
        <v>X</v>
      </c>
      <c r="E14" s="16">
        <f>IF(D14="X",100*0.2,"")</f>
        <v>20</v>
      </c>
      <c r="F14" s="16" t="str">
        <f t="shared" si="1"/>
        <v/>
      </c>
      <c r="G14" s="16" t="str">
        <f>IF(F14="X",60*0.2,"")</f>
        <v/>
      </c>
      <c r="H14" s="16" t="str">
        <f t="shared" si="2"/>
        <v/>
      </c>
      <c r="I14" s="16" t="str">
        <f>IF(H14="X",30*0.2,"")</f>
        <v/>
      </c>
      <c r="J14" s="16" t="str">
        <f t="shared" si="3"/>
        <v/>
      </c>
      <c r="K14" s="16" t="str">
        <f t="shared" si="4"/>
        <v/>
      </c>
    </row>
    <row r="15" spans="1:11" ht="24" outlineLevel="1" x14ac:dyDescent="0.25">
      <c r="A15" s="70"/>
      <c r="B15" s="30" t="str">
        <f>RUBRICA!A7</f>
        <v>4. Relaciona el Proyecto APT con las competencias del perfil de egreso de su Plan de Estudio.</v>
      </c>
      <c r="C15" s="28" t="s">
        <v>63</v>
      </c>
      <c r="D15" s="16" t="str">
        <f t="shared" si="0"/>
        <v>X</v>
      </c>
      <c r="E15" s="16">
        <f>IF(D15="X",100*0.05,"")</f>
        <v>5</v>
      </c>
      <c r="F15" s="16" t="str">
        <f t="shared" si="1"/>
        <v/>
      </c>
      <c r="G15" s="16" t="str">
        <f>IF(F15="X",60*0.05,"")</f>
        <v/>
      </c>
      <c r="H15" s="16" t="str">
        <f t="shared" si="2"/>
        <v/>
      </c>
      <c r="I15" s="16" t="str">
        <f>IF(H15="X",30*0.05,"")</f>
        <v/>
      </c>
      <c r="J15" s="16" t="str">
        <f t="shared" si="3"/>
        <v/>
      </c>
      <c r="K15" s="16" t="str">
        <f t="shared" si="4"/>
        <v/>
      </c>
    </row>
    <row r="16" spans="1:11" ht="24" outlineLevel="1" x14ac:dyDescent="0.25">
      <c r="A16" s="70"/>
      <c r="B16" s="30" t="str">
        <f>RUBRICA!A8</f>
        <v>5. Utiliza de manera precisa el lenguaje técnico en los entregables de acuerdo con lo requerido por la disciplina.</v>
      </c>
      <c r="C16" s="28" t="s">
        <v>63</v>
      </c>
      <c r="D16" s="16" t="str">
        <f t="shared" si="0"/>
        <v>X</v>
      </c>
      <c r="E16" s="16">
        <f>IF(D16="X",100*0.05,"")</f>
        <v>5</v>
      </c>
      <c r="F16" s="16" t="str">
        <f t="shared" si="1"/>
        <v/>
      </c>
      <c r="G16" s="16" t="str">
        <f>IF(F16="X",60*0.05,"")</f>
        <v/>
      </c>
      <c r="H16" s="16" t="str">
        <f t="shared" si="2"/>
        <v/>
      </c>
      <c r="I16" s="16" t="str">
        <f>IF(H16="X",30*0.05,"")</f>
        <v/>
      </c>
      <c r="J16" s="16" t="str">
        <f t="shared" si="3"/>
        <v/>
      </c>
      <c r="K16" s="16" t="str">
        <f t="shared" si="4"/>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5">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5"/>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5"/>
        <v/>
      </c>
    </row>
    <row r="20" spans="1:11" ht="15.75" customHeight="1" outlineLevel="1" x14ac:dyDescent="0.3">
      <c r="A20" s="67"/>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4"/>
      <c r="B21" s="32" t="s">
        <v>67</v>
      </c>
      <c r="C21" s="20">
        <f>VLOOKUP(C20,ESCALA_IEP!A1:B152,2,FALSE)</f>
        <v>7</v>
      </c>
    </row>
    <row r="22" spans="1:11" ht="15.75" customHeight="1" x14ac:dyDescent="0.25"/>
    <row r="23" spans="1:11" ht="15.75" customHeight="1" x14ac:dyDescent="0.25"/>
    <row r="24" spans="1:11" ht="15.75" customHeight="1" x14ac:dyDescent="0.25">
      <c r="A24" s="66" t="s">
        <v>59</v>
      </c>
      <c r="B24" s="53" t="s">
        <v>68</v>
      </c>
      <c r="C24" s="55" t="str">
        <f>$B$4</f>
        <v>Alexander Chamorro</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6">IF($C28=CL,"X","")</f>
        <v>X</v>
      </c>
      <c r="E28" s="16">
        <f>IF(D28="X",100*0.05,"")</f>
        <v>5</v>
      </c>
      <c r="F28" s="16" t="str">
        <f t="shared" ref="F28:F30" si="7">IF($C28=L,"X","")</f>
        <v/>
      </c>
      <c r="G28" s="16" t="str">
        <f>IF(F28="X",60*0.05,"")</f>
        <v/>
      </c>
      <c r="H28" s="16" t="str">
        <f t="shared" ref="H28:H30" si="8">IF($C28=ML,"X","")</f>
        <v/>
      </c>
      <c r="I28" s="16" t="str">
        <f>IF(H28="X",30*0.05,"")</f>
        <v/>
      </c>
      <c r="J28" s="16" t="str">
        <f t="shared" ref="J28:J30" si="9">IF($C28=NL,"X","")</f>
        <v/>
      </c>
      <c r="K28" s="16" t="str">
        <f t="shared" ref="K28:K30" si="10">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t="str">
        <f t="shared" si="6"/>
        <v>X</v>
      </c>
      <c r="E29" s="16">
        <f>IF(D29="X",100*0.1,"")</f>
        <v>10</v>
      </c>
      <c r="F29" s="16" t="str">
        <f t="shared" si="7"/>
        <v/>
      </c>
      <c r="G29" s="16" t="str">
        <f>IF(F29="X",60*0.1,"")</f>
        <v/>
      </c>
      <c r="H29" s="16" t="str">
        <f t="shared" si="8"/>
        <v/>
      </c>
      <c r="I29" s="16" t="str">
        <f>IF(H29="X",30*0.1,"")</f>
        <v/>
      </c>
      <c r="J29" s="16" t="str">
        <f t="shared" si="9"/>
        <v/>
      </c>
      <c r="K29" s="16" t="str">
        <f t="shared" si="10"/>
        <v/>
      </c>
    </row>
    <row r="30" spans="1:11" ht="25.9" customHeight="1" x14ac:dyDescent="0.25">
      <c r="A30" s="67"/>
      <c r="B30" s="30" t="str">
        <f>RUBRICA!A13</f>
        <v>10. Colaboración y trabajo en equipo *</v>
      </c>
      <c r="C30" s="28" t="s">
        <v>63</v>
      </c>
      <c r="D30" s="16" t="str">
        <f t="shared" si="6"/>
        <v>X</v>
      </c>
      <c r="E30" s="16">
        <f>IF(D30="X",100*0.1,"")</f>
        <v>10</v>
      </c>
      <c r="F30" s="16" t="str">
        <f t="shared" si="7"/>
        <v/>
      </c>
      <c r="G30" s="16" t="str">
        <f>IF(F30="X",60*0.1,"")</f>
        <v/>
      </c>
      <c r="H30" s="16" t="str">
        <f t="shared" si="8"/>
        <v/>
      </c>
      <c r="I30" s="16" t="str">
        <f>IF(H30="X",30*0.1,"")</f>
        <v/>
      </c>
      <c r="J30" s="16" t="str">
        <f t="shared" si="9"/>
        <v/>
      </c>
      <c r="K30" s="16" t="str">
        <f t="shared" si="10"/>
        <v/>
      </c>
    </row>
    <row r="31" spans="1:11" ht="15.75" customHeight="1" x14ac:dyDescent="0.3">
      <c r="A31" s="67"/>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4"/>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f>B5</f>
        <v>0</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1">IF($C40=CL,"X","")</f>
        <v>X</v>
      </c>
      <c r="E40" s="16">
        <f>IF(D40="X",100*0.05,"")</f>
        <v>5</v>
      </c>
      <c r="F40" s="16" t="str">
        <f t="shared" ref="F40:F42" si="12">IF($C40=L,"X","")</f>
        <v/>
      </c>
      <c r="G40" s="16" t="str">
        <f>IF(F40="X",60*0.05,"")</f>
        <v/>
      </c>
      <c r="H40" s="16" t="str">
        <f t="shared" ref="H40:H42" si="13">IF($C40=ML,"X","")</f>
        <v/>
      </c>
      <c r="I40" s="16" t="str">
        <f>IF(H40="X",30*0.05,"")</f>
        <v/>
      </c>
      <c r="J40" s="16" t="str">
        <f t="shared" ref="J40:J42" si="14">IF($C40=NL,"X","")</f>
        <v/>
      </c>
      <c r="K40" s="16" t="str">
        <f t="shared" ref="K40:K42" si="15">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t="str">
        <f t="shared" si="11"/>
        <v>X</v>
      </c>
      <c r="E41" s="16">
        <f>IF(D41="X",100*0.1,"")</f>
        <v>10</v>
      </c>
      <c r="F41" s="16" t="str">
        <f t="shared" si="12"/>
        <v/>
      </c>
      <c r="G41" s="16" t="str">
        <f>IF(F41="X",60*0.1,"")</f>
        <v/>
      </c>
      <c r="H41" s="16" t="str">
        <f t="shared" si="13"/>
        <v/>
      </c>
      <c r="I41" s="16" t="str">
        <f>IF(H41="X",30*0.1,"")</f>
        <v/>
      </c>
      <c r="J41" s="16" t="str">
        <f t="shared" si="14"/>
        <v/>
      </c>
      <c r="K41" s="16" t="str">
        <f t="shared" si="15"/>
        <v/>
      </c>
    </row>
    <row r="42" spans="1:11" x14ac:dyDescent="0.25">
      <c r="A42" s="67"/>
      <c r="B42" s="30" t="str">
        <f>RUBRICA!A13</f>
        <v>10. Colaboración y trabajo en equipo *</v>
      </c>
      <c r="C42" s="28" t="s">
        <v>63</v>
      </c>
      <c r="D42" s="16" t="str">
        <f t="shared" si="11"/>
        <v>X</v>
      </c>
      <c r="E42" s="16">
        <f>IF(D42="X",100*0.1,"")</f>
        <v>10</v>
      </c>
      <c r="F42" s="16" t="str">
        <f t="shared" si="12"/>
        <v/>
      </c>
      <c r="G42" s="16" t="str">
        <f>IF(F42="X",60*0.1,"")</f>
        <v/>
      </c>
      <c r="H42" s="16" t="str">
        <f t="shared" si="13"/>
        <v/>
      </c>
      <c r="I42" s="16" t="str">
        <f>IF(H42="X",30*0.1,"")</f>
        <v/>
      </c>
      <c r="J42" s="16" t="str">
        <f t="shared" si="14"/>
        <v/>
      </c>
      <c r="K42" s="16" t="str">
        <f t="shared" si="15"/>
        <v/>
      </c>
    </row>
    <row r="43" spans="1:11" ht="15.75" customHeight="1" x14ac:dyDescent="0.3">
      <c r="A43" s="67"/>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4"/>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6" t="s">
        <v>59</v>
      </c>
      <c r="B47" s="53" t="s">
        <v>68</v>
      </c>
      <c r="C47" s="55">
        <f>B6</f>
        <v>0</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t="str">
        <f t="shared" ref="D51:D53" si="16">IF($C51=CL,"X","")</f>
        <v>X</v>
      </c>
      <c r="E51" s="16">
        <f>IF(D51="X",100*0.05,"")</f>
        <v>5</v>
      </c>
      <c r="F51" s="16" t="str">
        <f t="shared" ref="F51:F53" si="17">IF($C51=L,"X","")</f>
        <v/>
      </c>
      <c r="G51" s="16" t="str">
        <f>IF(F51="X",60*0.05,"")</f>
        <v/>
      </c>
      <c r="H51" s="16" t="str">
        <f t="shared" ref="H51:H53" si="18">IF($C51=ML,"X","")</f>
        <v/>
      </c>
      <c r="I51" s="16" t="str">
        <f>IF(H51="X",30*0.05,"")</f>
        <v/>
      </c>
      <c r="J51" s="16" t="str">
        <f t="shared" ref="J51:J53" si="19">IF($C51=NL,"X","")</f>
        <v/>
      </c>
      <c r="K51" s="16" t="str">
        <f t="shared" ref="K51:K53" si="20">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t="str">
        <f t="shared" si="16"/>
        <v>X</v>
      </c>
      <c r="E52" s="16">
        <f>IF(D52="X",100*0.1,"")</f>
        <v>10</v>
      </c>
      <c r="F52" s="16" t="str">
        <f t="shared" si="17"/>
        <v/>
      </c>
      <c r="G52" s="16" t="str">
        <f>IF(F52="X",60*0.1,"")</f>
        <v/>
      </c>
      <c r="H52" s="16" t="str">
        <f t="shared" si="18"/>
        <v/>
      </c>
      <c r="I52" s="16" t="str">
        <f>IF(H52="X",30*0.1,"")</f>
        <v/>
      </c>
      <c r="J52" s="16" t="str">
        <f t="shared" si="19"/>
        <v/>
      </c>
      <c r="K52" s="16" t="str">
        <f t="shared" si="20"/>
        <v/>
      </c>
    </row>
    <row r="53" spans="1:11" x14ac:dyDescent="0.25">
      <c r="A53" s="67"/>
      <c r="B53" s="30" t="str">
        <f>RUBRICA!A13</f>
        <v>10. Colaboración y trabajo en equipo *</v>
      </c>
      <c r="C53" s="28" t="s">
        <v>63</v>
      </c>
      <c r="D53" s="16" t="str">
        <f t="shared" si="16"/>
        <v>X</v>
      </c>
      <c r="E53" s="16">
        <f>IF(D53="X",100*0.1,"")</f>
        <v>10</v>
      </c>
      <c r="F53" s="16" t="str">
        <f t="shared" si="17"/>
        <v/>
      </c>
      <c r="G53" s="16" t="str">
        <f>IF(F53="X",60*0.1,"")</f>
        <v/>
      </c>
      <c r="H53" s="16" t="str">
        <f t="shared" si="18"/>
        <v/>
      </c>
      <c r="I53" s="16" t="str">
        <f>IF(H53="X",30*0.1,"")</f>
        <v/>
      </c>
      <c r="J53" s="16" t="str">
        <f t="shared" si="19"/>
        <v/>
      </c>
      <c r="K53" s="16" t="str">
        <f t="shared" si="20"/>
        <v/>
      </c>
    </row>
    <row r="54" spans="1:11" ht="15.75" customHeight="1" x14ac:dyDescent="0.3">
      <c r="A54" s="67"/>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4"/>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2025-11-26T22:14:00Z</dcterms:modified>
  <cp:category/>
  <cp:contentStatus/>
</cp:coreProperties>
</file>